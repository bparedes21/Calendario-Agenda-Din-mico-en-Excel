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08" yWindow="-108" windowWidth="23256" windowHeight="12456"/>
  </bookViews>
  <sheets>
    <sheet name="Calendario-Agenda" sheetId="2" r:id="rId1"/>
    <sheet name="Hoja3" sheetId="3" r:id="rId2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" l="1"/>
  <c r="C5" i="2" l="1"/>
  <c r="B4" i="2" s="1"/>
  <c r="B7" i="2" s="1"/>
  <c r="C7" i="2" l="1"/>
  <c r="D7" i="2" s="1"/>
  <c r="E7" i="2" s="1"/>
  <c r="F7" i="2" s="1"/>
  <c r="G7" i="2" s="1"/>
  <c r="H7" i="2" s="1"/>
  <c r="B8" i="2"/>
  <c r="I5" i="3"/>
  <c r="C21" i="3" s="1"/>
  <c r="C23" i="3" l="1"/>
  <c r="B6" i="2" s="1"/>
  <c r="D23" i="3"/>
  <c r="C6" i="2" s="1"/>
  <c r="D21" i="3"/>
  <c r="C8" i="2"/>
  <c r="D8" i="2" s="1"/>
  <c r="E8" i="2" s="1"/>
  <c r="F8" i="2" s="1"/>
  <c r="G8" i="2" s="1"/>
  <c r="H8" i="2" s="1"/>
  <c r="B9" i="2"/>
  <c r="E23" i="3" l="1"/>
  <c r="E21" i="3"/>
  <c r="B10" i="2"/>
  <c r="C9" i="2"/>
  <c r="D9" i="2" s="1"/>
  <c r="E9" i="2" s="1"/>
  <c r="F9" i="2" s="1"/>
  <c r="G9" i="2" s="1"/>
  <c r="H9" i="2" s="1"/>
  <c r="D6" i="2"/>
  <c r="F23" i="3" l="1"/>
  <c r="E6" i="2" s="1"/>
  <c r="F21" i="3"/>
  <c r="B11" i="2"/>
  <c r="C11" i="2" s="1"/>
  <c r="D11" i="2" s="1"/>
  <c r="E11" i="2" s="1"/>
  <c r="F11" i="2" s="1"/>
  <c r="G11" i="2" s="1"/>
  <c r="H11" i="2" s="1"/>
  <c r="C10" i="2"/>
  <c r="D10" i="2" s="1"/>
  <c r="E10" i="2" s="1"/>
  <c r="F10" i="2" s="1"/>
  <c r="G10" i="2" s="1"/>
  <c r="H10" i="2" s="1"/>
  <c r="G23" i="3" l="1"/>
  <c r="F6" i="2" s="1"/>
  <c r="G21" i="3"/>
  <c r="H21" i="3" l="1"/>
  <c r="H23" i="3"/>
  <c r="G6" i="2" s="1"/>
  <c r="I21" i="3" l="1"/>
  <c r="I23" i="3"/>
  <c r="H6" i="2" s="1"/>
</calcChain>
</file>

<file path=xl/sharedStrings.xml><?xml version="1.0" encoding="utf-8"?>
<sst xmlns="http://schemas.openxmlformats.org/spreadsheetml/2006/main" count="35" uniqueCount="33">
  <si>
    <t>Años</t>
  </si>
  <si>
    <t>Mes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</si>
  <si>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</si>
  <si>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</si>
  <si>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</si>
  <si>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</si>
  <si>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</si>
  <si>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</si>
  <si>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</si>
  <si>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</si>
  <si>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</si>
  <si>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</si>
  <si>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</si>
  <si>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Febrero</t>
  </si>
  <si>
    <t>Fecha</t>
  </si>
  <si>
    <t>Evento</t>
  </si>
  <si>
    <t>Lunes</t>
  </si>
  <si>
    <t>Martes</t>
  </si>
  <si>
    <t>Miercoles</t>
  </si>
  <si>
    <t>Jueves</t>
  </si>
  <si>
    <t>Viernes</t>
  </si>
  <si>
    <t>Sábado</t>
  </si>
  <si>
    <t>Domingo</t>
  </si>
  <si>
    <t>Dia de semana</t>
  </si>
  <si>
    <t>Dias</t>
  </si>
  <si>
    <t>Numero de mes</t>
  </si>
  <si>
    <t>Numero de dia</t>
  </si>
  <si>
    <t>Numero de Dia de la primera semana del mes</t>
  </si>
  <si>
    <t xml:space="preserve">
</t>
  </si>
  <si>
    <t>Año</t>
  </si>
  <si>
    <t>Entrevista con recruiter</t>
  </si>
  <si>
    <t>Entrega de prueba tecnica</t>
  </si>
  <si>
    <t>Entrevista con lider de equipo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</si>
</sst>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"/>
  </numFmts>
  <fonts count="1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rgb="FFFFFFFF"/>
      <name val="Ubuntu Mono"/>
      <family val="3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219EBC"/>
        <bgColor indexed="64"/>
      </patternFill>
    </fill>
    <fill>
      <patternFill patternType="solid">
        <fgColor rgb="FF68C2D9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</borders>
  <cellStyleXfs count="1">
    <xf numFmtId="0" fontId="0" fillId="0" borderId="0"/>
  </cellStyleXfs>
  <cellXfs count="43">
    <xf numFmtId="0" fontId="0" fillId="0" borderId="0" xfId="0"/>
    <xf numFmtId="49" fontId="0" fillId="0" borderId="0" xfId="0" applyNumberFormat="1"/>
    <xf numFmtId="1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4" fontId="6" fillId="2" borderId="1" xfId="0" applyNumberFormat="1" applyFont="1" applyFill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64" fontId="0" fillId="2" borderId="3" xfId="0" applyNumberFormat="1" applyFill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164" fontId="0" fillId="2" borderId="5" xfId="0" applyNumberFormat="1" applyFill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8" fillId="2" borderId="1" xfId="0" applyNumberFormat="1" applyFont="1" applyFill="1" applyBorder="1" applyAlignment="1">
      <alignment horizontal="center" vertical="center"/>
    </xf>
    <xf numFmtId="1" fontId="8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14" fontId="8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/>
    <xf numFmtId="1" fontId="4" fillId="4" borderId="0" xfId="0" applyNumberFormat="1" applyFont="1" applyFill="1"/>
    <xf numFmtId="14" fontId="0" fillId="4" borderId="0" xfId="0" applyNumberFormat="1" applyFill="1"/>
    <xf numFmtId="1" fontId="0" fillId="4" borderId="0" xfId="0" applyNumberFormat="1" applyFill="1"/>
    <xf numFmtId="14" fontId="0" fillId="4" borderId="0" xfId="0" applyNumberFormat="1" applyFill="1" applyAlignment="1">
      <alignment horizontal="center" vertical="center"/>
    </xf>
    <xf numFmtId="49" fontId="0" fillId="4" borderId="0" xfId="0" applyNumberFormat="1" applyFill="1" applyAlignment="1">
      <alignment horizontal="center" vertical="center" wrapText="1"/>
    </xf>
    <xf numFmtId="164" fontId="0" fillId="4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49" fontId="0" fillId="4" borderId="0" xfId="0" applyNumberFormat="1" applyFill="1"/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49" fontId="10" fillId="3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5">
    <dxf>
      <font>
        <b/>
        <i val="0"/>
        <strike/>
        <u/>
        <color auto="1"/>
      </font>
      <fill>
        <patternFill>
          <fgColor auto="1"/>
          <bgColor theme="9" tint="0.79998168889431442"/>
        </patternFill>
      </fill>
    </dxf>
    <dxf>
      <font>
        <b/>
        <i val="0"/>
        <color rgb="FFFF0000"/>
      </font>
      <fill>
        <patternFill>
          <bgColor rgb="FFFFBDBD"/>
        </patternFill>
      </fill>
    </dxf>
    <dxf>
      <fill>
        <patternFill>
          <bgColor theme="9" tint="0.79998168889431442"/>
        </patternFill>
      </fill>
    </dxf>
    <dxf>
      <font>
        <b/>
        <i val="0"/>
        <color theme="1"/>
      </font>
      <fill>
        <patternFill>
          <fgColor theme="0"/>
          <bgColor rgb="FFDDEBF7"/>
        </patternFill>
      </fill>
    </dxf>
    <dxf>
      <font>
        <b/>
        <i val="0"/>
        <color theme="1"/>
      </font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219EBC"/>
      <color rgb="FF68C2D9"/>
      <color rgb="FFDDEBF7"/>
      <color rgb="FFFFBD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14</xdr:row>
          <xdr:rowOff>67684</xdr:rowOff>
        </xdr:from>
        <xdr:to>
          <xdr:col>2</xdr:col>
          <xdr:colOff>403860</xdr:colOff>
          <xdr:row>16</xdr:row>
          <xdr:rowOff>151503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 evento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1084729</xdr:colOff>
      <xdr:row>0</xdr:row>
      <xdr:rowOff>89646</xdr:rowOff>
    </xdr:from>
    <xdr:to>
      <xdr:col>9</xdr:col>
      <xdr:colOff>1945341</xdr:colOff>
      <xdr:row>0</xdr:row>
      <xdr:rowOff>950258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4776" y="89646"/>
          <a:ext cx="860612" cy="860612"/>
        </a:xfrm>
        <a:prstGeom prst="rect">
          <a:avLst/>
        </a:prstGeom>
      </xdr:spPr>
    </xdr:pic>
    <xdr:clientData/>
  </xdr:twoCellAnchor>
  <xdr:twoCellAnchor editAs="oneCell">
    <xdr:from>
      <xdr:col>9</xdr:col>
      <xdr:colOff>2250143</xdr:colOff>
      <xdr:row>0</xdr:row>
      <xdr:rowOff>286874</xdr:rowOff>
    </xdr:from>
    <xdr:to>
      <xdr:col>10</xdr:col>
      <xdr:colOff>860613</xdr:colOff>
      <xdr:row>0</xdr:row>
      <xdr:rowOff>891834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0190" y="286874"/>
          <a:ext cx="1407458" cy="604960"/>
        </a:xfrm>
        <a:prstGeom prst="rect">
          <a:avLst/>
        </a:prstGeom>
      </xdr:spPr>
    </xdr:pic>
    <xdr:clientData/>
  </xdr:twoCellAnchor>
  <xdr:twoCellAnchor editAs="oneCell">
    <xdr:from>
      <xdr:col>1</xdr:col>
      <xdr:colOff>62754</xdr:colOff>
      <xdr:row>0</xdr:row>
      <xdr:rowOff>62753</xdr:rowOff>
    </xdr:from>
    <xdr:to>
      <xdr:col>2</xdr:col>
      <xdr:colOff>152401</xdr:colOff>
      <xdr:row>0</xdr:row>
      <xdr:rowOff>941294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1648" y="62753"/>
          <a:ext cx="878541" cy="878541"/>
        </a:xfrm>
        <a:prstGeom prst="rect">
          <a:avLst/>
        </a:prstGeom>
      </xdr:spPr>
    </xdr:pic>
    <xdr:clientData/>
  </xdr:twoCellAnchor>
  <xdr:twoCellAnchor editAs="oneCell">
    <xdr:from>
      <xdr:col>1</xdr:col>
      <xdr:colOff>627530</xdr:colOff>
      <xdr:row>0</xdr:row>
      <xdr:rowOff>0</xdr:rowOff>
    </xdr:from>
    <xdr:to>
      <xdr:col>5</xdr:col>
      <xdr:colOff>565200</xdr:colOff>
      <xdr:row>1</xdr:row>
      <xdr:rowOff>206188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424" y="0"/>
          <a:ext cx="3093247" cy="1192306"/>
        </a:xfrm>
        <a:prstGeom prst="rect">
          <a:avLst/>
        </a:prstGeom>
      </xdr:spPr>
    </xdr:pic>
    <xdr:clientData/>
  </xdr:twoCellAnchor>
  <xdr:twoCellAnchor editAs="oneCell">
    <xdr:from>
      <xdr:col>4</xdr:col>
      <xdr:colOff>421342</xdr:colOff>
      <xdr:row>0</xdr:row>
      <xdr:rowOff>304800</xdr:rowOff>
    </xdr:from>
    <xdr:to>
      <xdr:col>7</xdr:col>
      <xdr:colOff>690282</xdr:colOff>
      <xdr:row>0</xdr:row>
      <xdr:rowOff>848397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76918" y="304800"/>
          <a:ext cx="2635623" cy="5435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O30"/>
  <sheetViews>
    <sheetView tabSelected="1" zoomScale="85" zoomScaleNormal="85" workbookViewId="0"/>
  </sheetViews>
  <sheetFormatPr baseColWidth="10" defaultRowHeight="18"/>
  <cols>
    <col min="2" max="8" width="11.44140625" style="4" customWidth="1"/>
    <col min="10" max="10" width="40.77734375" style="7" customWidth="1"/>
    <col min="11" max="11" width="40.77734375" style="6" customWidth="1"/>
  </cols>
  <sheetData>
    <row r="1" spans="1:15" ht="77.400000000000006" customHeight="1" thickBot="1">
      <c r="A1" s="26"/>
      <c r="B1" s="27"/>
      <c r="C1" s="27"/>
      <c r="D1" s="27"/>
      <c r="E1" s="27"/>
      <c r="F1" s="27"/>
      <c r="G1" s="27"/>
      <c r="H1" s="27"/>
      <c r="I1" s="26"/>
      <c r="J1" s="28"/>
      <c r="K1" s="29"/>
      <c r="L1" s="26"/>
      <c r="M1" s="26"/>
    </row>
    <row r="2" spans="1:15" ht="18.75" customHeight="1" thickTop="1" thickBot="1">
      <c r="A2" s="26"/>
      <c r="B2" s="13" t="s">
        <v>29</v>
      </c>
      <c r="C2" s="20">
        <v>2024</v>
      </c>
      <c r="D2" s="21"/>
      <c r="E2" s="19" t="s">
        <v>1</v>
      </c>
      <c r="F2" s="19"/>
      <c r="G2" s="42" t="s">
        <v>12</v>
      </c>
      <c r="H2" s="21"/>
      <c r="I2" s="30"/>
      <c r="J2" s="28"/>
      <c r="K2" s="29"/>
      <c r="L2" s="26"/>
      <c r="M2" s="39"/>
      <c r="N2" s="1"/>
      <c r="O2" s="1"/>
    </row>
    <row r="3" spans="1:15" ht="19.2" thickTop="1" thickBot="1">
      <c r="A3" s="26"/>
      <c r="I3" s="30"/>
      <c r="J3" s="28"/>
      <c r="K3" s="29"/>
      <c r="L3" s="26"/>
      <c r="M3" s="26"/>
    </row>
    <row r="4" spans="1:15" ht="19.2" hidden="1" thickTop="1" thickBot="1">
      <c r="A4" s="26"/>
      <c r="B4" s="8">
        <f>DATE(C2,C5,1)</f>
        <v>45627</v>
      </c>
      <c r="C4" s="9" t="str">
        <f>G2</f>
        <v>Diciembre</v>
      </c>
      <c r="D4" s="10">
        <v>1</v>
      </c>
      <c r="E4" s="10"/>
      <c r="F4" s="10"/>
      <c r="G4" s="10"/>
      <c r="H4" s="10"/>
      <c r="I4" s="30"/>
      <c r="L4" s="26"/>
      <c r="M4" s="26"/>
    </row>
    <row r="5" spans="1:15" ht="26.4" hidden="1" customHeight="1">
      <c r="A5" s="26"/>
      <c r="B5" s="10"/>
      <c r="C5" s="10">
        <f>VLOOKUP(C4,Hoja3!C5:D16,2,FALSE)</f>
        <v>12</v>
      </c>
      <c r="D5" s="10"/>
      <c r="E5" s="10"/>
      <c r="F5" s="10"/>
      <c r="G5" s="10"/>
      <c r="H5" s="10"/>
      <c r="I5" s="30"/>
      <c r="L5" s="26"/>
      <c r="M5" s="26"/>
    </row>
    <row r="6" spans="1:15" ht="15" customHeight="1" thickTop="1" thickBot="1">
      <c r="A6" s="26"/>
      <c r="B6" s="13" t="str">
        <f>CHOOSE(Hoja3!C23,"Domingo", "Lunes", "Martes", "Miércoles","Jueves","Viernes","Sábado","Domingo")</f>
        <v>Domingo</v>
      </c>
      <c r="C6" s="13" t="str">
        <f>CHOOSE(Hoja3!D23,"Domingo", "Lunes", "Martes", "Miércoles","Jueves","Viernes","Sábado")</f>
        <v>Lunes</v>
      </c>
      <c r="D6" s="13" t="str">
        <f>CHOOSE(Hoja3!E23,"Domingo", "Lunes", "Martes", "Miércoles","Jueves","Viernes","Sábado")</f>
        <v>Martes</v>
      </c>
      <c r="E6" s="13" t="str">
        <f>CHOOSE(Hoja3!F23,"Domingo", "Lunes", "Martes", "Miércoles","Jueves","Viernes","Sábado")</f>
        <v>Miércoles</v>
      </c>
      <c r="F6" s="13" t="str">
        <f>CHOOSE(Hoja3!G23,"Domingo", "Lunes", "Martes", "Miércoles","Jueves","Viernes","Sábado")</f>
        <v>Jueves</v>
      </c>
      <c r="G6" s="13" t="str">
        <f>CHOOSE(Hoja3!H23,"Domingo", "Lunes", "Martes", "Miércoles","Jueves","Viernes","Sábado")</f>
        <v>Viernes</v>
      </c>
      <c r="H6" s="13" t="str">
        <f>CHOOSE(Hoja3!I23,"Domingo", "Lunes", "Martes", "Miércoles","Jueves","Viernes","Sábado")</f>
        <v>Sábado</v>
      </c>
      <c r="I6" s="31"/>
      <c r="J6" s="11" t="s">
        <v>14</v>
      </c>
      <c r="K6" s="12" t="s">
        <v>15</v>
      </c>
      <c r="L6" s="26"/>
      <c r="M6" s="39"/>
      <c r="N6" s="1"/>
    </row>
    <row r="7" spans="1:15" ht="15" customHeight="1" thickTop="1" thickBot="1">
      <c r="A7" s="26"/>
      <c r="B7" s="17">
        <f>B4</f>
        <v>45627</v>
      </c>
      <c r="C7" s="17">
        <f>B7+1</f>
        <v>45628</v>
      </c>
      <c r="D7" s="17">
        <f t="shared" ref="D7:H8" si="0">C7+1</f>
        <v>45629</v>
      </c>
      <c r="E7" s="17">
        <f t="shared" si="0"/>
        <v>45630</v>
      </c>
      <c r="F7" s="17">
        <f t="shared" si="0"/>
        <v>45631</v>
      </c>
      <c r="G7" s="17">
        <f t="shared" si="0"/>
        <v>45632</v>
      </c>
      <c r="H7" s="17">
        <f t="shared" si="0"/>
        <v>45633</v>
      </c>
      <c r="I7" s="31"/>
      <c r="J7" s="22">
        <v>45363</v>
      </c>
      <c r="K7" s="23" t="s">
        <v>30</v>
      </c>
      <c r="L7" s="32"/>
      <c r="M7" s="26"/>
    </row>
    <row r="8" spans="1:15" ht="15" customHeight="1" thickTop="1" thickBot="1">
      <c r="A8" s="26"/>
      <c r="B8" s="17">
        <f>B7+7</f>
        <v>45634</v>
      </c>
      <c r="C8" s="17">
        <f>B8+1</f>
        <v>45635</v>
      </c>
      <c r="D8" s="17">
        <f t="shared" si="0"/>
        <v>45636</v>
      </c>
      <c r="E8" s="17">
        <f t="shared" si="0"/>
        <v>45637</v>
      </c>
      <c r="F8" s="17">
        <f t="shared" si="0"/>
        <v>45638</v>
      </c>
      <c r="G8" s="17">
        <f t="shared" si="0"/>
        <v>45639</v>
      </c>
      <c r="H8" s="17">
        <f t="shared" si="0"/>
        <v>45640</v>
      </c>
      <c r="I8" s="31"/>
      <c r="J8" s="22">
        <v>45365</v>
      </c>
      <c r="K8" s="23" t="s">
        <v>31</v>
      </c>
      <c r="L8" s="26"/>
      <c r="M8" s="26"/>
    </row>
    <row r="9" spans="1:15" ht="15" customHeight="1" thickTop="1" thickBot="1">
      <c r="A9" s="26"/>
      <c r="B9" s="17">
        <f t="shared" ref="B9:B11" si="1">B8+7</f>
        <v>45641</v>
      </c>
      <c r="C9" s="17">
        <f t="shared" ref="C9:H9" si="2">B9+1</f>
        <v>45642</v>
      </c>
      <c r="D9" s="17">
        <f t="shared" si="2"/>
        <v>45643</v>
      </c>
      <c r="E9" s="17">
        <f t="shared" si="2"/>
        <v>45644</v>
      </c>
      <c r="F9" s="17">
        <f t="shared" si="2"/>
        <v>45645</v>
      </c>
      <c r="G9" s="17">
        <f t="shared" si="2"/>
        <v>45646</v>
      </c>
      <c r="H9" s="17">
        <f t="shared" si="2"/>
        <v>45647</v>
      </c>
      <c r="I9" s="31"/>
      <c r="J9" s="22">
        <v>45366</v>
      </c>
      <c r="K9" s="24" t="s">
        <v>32</v>
      </c>
      <c r="L9" s="26"/>
      <c r="M9" s="26"/>
    </row>
    <row r="10" spans="1:15" ht="15" customHeight="1" thickTop="1" thickBot="1">
      <c r="A10" s="26"/>
      <c r="B10" s="17">
        <f t="shared" si="1"/>
        <v>45648</v>
      </c>
      <c r="C10" s="17">
        <f t="shared" ref="C10:H10" si="3">B10+1</f>
        <v>45649</v>
      </c>
      <c r="D10" s="17">
        <f t="shared" si="3"/>
        <v>45650</v>
      </c>
      <c r="E10" s="17">
        <f t="shared" si="3"/>
        <v>45651</v>
      </c>
      <c r="F10" s="17">
        <f t="shared" si="3"/>
        <v>45652</v>
      </c>
      <c r="G10" s="17">
        <f t="shared" si="3"/>
        <v>45653</v>
      </c>
      <c r="H10" s="17">
        <f t="shared" si="3"/>
        <v>45654</v>
      </c>
      <c r="I10" s="31"/>
      <c r="J10" s="22"/>
      <c r="K10" s="23"/>
      <c r="L10" s="26"/>
      <c r="M10" s="26"/>
    </row>
    <row r="11" spans="1:15" ht="15" customHeight="1" thickTop="1" thickBot="1">
      <c r="A11" s="26"/>
      <c r="B11" s="18">
        <f t="shared" si="1"/>
        <v>45655</v>
      </c>
      <c r="C11" s="18">
        <f t="shared" ref="C11:H11" si="4">B11+1</f>
        <v>45656</v>
      </c>
      <c r="D11" s="18">
        <f t="shared" si="4"/>
        <v>45657</v>
      </c>
      <c r="E11" s="18">
        <f t="shared" si="4"/>
        <v>45658</v>
      </c>
      <c r="F11" s="18">
        <f t="shared" si="4"/>
        <v>45659</v>
      </c>
      <c r="G11" s="18">
        <f t="shared" si="4"/>
        <v>45660</v>
      </c>
      <c r="H11" s="18">
        <f t="shared" si="4"/>
        <v>45661</v>
      </c>
      <c r="I11" s="33"/>
      <c r="J11" s="22"/>
      <c r="K11" s="23"/>
      <c r="L11" s="26"/>
      <c r="M11" s="26"/>
    </row>
    <row r="12" spans="1:15" ht="15" customHeight="1" thickTop="1" thickBot="1">
      <c r="A12" s="26"/>
      <c r="B12" s="14"/>
      <c r="C12" s="15"/>
      <c r="D12" s="15"/>
      <c r="E12" s="15"/>
      <c r="F12" s="15"/>
      <c r="G12" s="15"/>
      <c r="H12" s="16"/>
      <c r="I12" s="26"/>
      <c r="J12" s="22"/>
      <c r="K12" s="24"/>
      <c r="L12" s="26"/>
      <c r="M12" s="26"/>
    </row>
    <row r="13" spans="1:15" ht="15" customHeight="1" thickTop="1" thickBot="1">
      <c r="A13" s="26"/>
      <c r="B13" s="27"/>
      <c r="C13" s="27"/>
      <c r="D13" s="27"/>
      <c r="E13" s="27"/>
      <c r="F13" s="27"/>
      <c r="G13" s="27"/>
      <c r="H13" s="27"/>
      <c r="I13" s="26"/>
      <c r="J13" s="22"/>
      <c r="K13" s="24"/>
      <c r="L13" s="26"/>
      <c r="M13" s="26"/>
    </row>
    <row r="14" spans="1:15" ht="15" customHeight="1" thickTop="1" thickBot="1">
      <c r="A14" s="26"/>
      <c r="B14" s="40"/>
      <c r="C14" s="40"/>
      <c r="D14" s="27"/>
      <c r="E14" s="27"/>
      <c r="F14" s="27"/>
      <c r="G14" s="27"/>
      <c r="H14" s="27"/>
      <c r="I14" s="26"/>
      <c r="J14" s="22"/>
      <c r="K14" s="24"/>
      <c r="L14" s="26"/>
      <c r="M14" s="26"/>
    </row>
    <row r="15" spans="1:15" ht="15" customHeight="1" thickTop="1" thickBot="1">
      <c r="A15" s="26"/>
      <c r="B15" s="41"/>
      <c r="C15" s="41"/>
      <c r="D15" s="34"/>
      <c r="E15" s="34"/>
      <c r="F15" s="34"/>
      <c r="G15" s="34"/>
      <c r="H15" s="34"/>
      <c r="I15" s="26"/>
      <c r="J15" s="22"/>
      <c r="K15" s="24"/>
      <c r="L15" s="26"/>
      <c r="M15" s="26"/>
    </row>
    <row r="16" spans="1:15" ht="15" customHeight="1" thickTop="1" thickBot="1">
      <c r="A16" s="26"/>
      <c r="B16" s="41"/>
      <c r="C16" s="41"/>
      <c r="D16" s="34"/>
      <c r="E16" s="34"/>
      <c r="F16" s="34"/>
      <c r="G16" s="34"/>
      <c r="H16" s="34"/>
      <c r="I16" s="26"/>
      <c r="J16" s="22"/>
      <c r="K16" s="24"/>
      <c r="L16" s="26"/>
      <c r="M16" s="26"/>
    </row>
    <row r="17" spans="1:13" ht="15" customHeight="1" thickTop="1" thickBot="1">
      <c r="A17" s="26"/>
      <c r="B17" s="41"/>
      <c r="C17" s="40"/>
      <c r="D17" s="34"/>
      <c r="E17" s="27"/>
      <c r="F17" s="27"/>
      <c r="G17" s="27"/>
      <c r="H17" s="27"/>
      <c r="I17" s="26"/>
      <c r="J17" s="22"/>
      <c r="K17" s="24"/>
      <c r="L17" s="26"/>
      <c r="M17" s="26"/>
    </row>
    <row r="18" spans="1:13" ht="15" customHeight="1" thickTop="1" thickBot="1">
      <c r="A18" s="26"/>
      <c r="B18" s="41"/>
      <c r="C18" s="41"/>
      <c r="D18" s="35" t="s">
        <v>28</v>
      </c>
      <c r="E18" s="34"/>
      <c r="F18" s="34"/>
      <c r="G18" s="34"/>
      <c r="H18" s="34"/>
      <c r="I18" s="32"/>
      <c r="J18" s="22"/>
      <c r="K18" s="25"/>
      <c r="L18" s="26"/>
      <c r="M18" s="26"/>
    </row>
    <row r="19" spans="1:13" ht="15" customHeight="1" thickTop="1" thickBot="1">
      <c r="A19" s="26"/>
      <c r="B19" s="34"/>
      <c r="C19" s="27"/>
      <c r="D19" s="34"/>
      <c r="E19" s="27"/>
      <c r="F19" s="27"/>
      <c r="G19" s="27"/>
      <c r="H19" s="27"/>
      <c r="I19" s="26"/>
      <c r="J19" s="22"/>
      <c r="K19" s="24"/>
      <c r="L19" s="26"/>
      <c r="M19" s="26"/>
    </row>
    <row r="20" spans="1:13" ht="15" customHeight="1" thickTop="1" thickBot="1">
      <c r="A20" s="26"/>
      <c r="B20" s="34"/>
      <c r="C20" s="27"/>
      <c r="D20" s="34"/>
      <c r="E20" s="27"/>
      <c r="F20" s="27"/>
      <c r="G20" s="27"/>
      <c r="H20" s="27"/>
      <c r="I20" s="26"/>
      <c r="J20" s="22"/>
      <c r="K20" s="24"/>
      <c r="L20" s="26"/>
      <c r="M20" s="26"/>
    </row>
    <row r="21" spans="1:13" ht="15" customHeight="1" thickTop="1" thickBot="1">
      <c r="A21" s="26"/>
      <c r="B21" s="34"/>
      <c r="C21" s="36"/>
      <c r="D21" s="34"/>
      <c r="E21" s="27"/>
      <c r="F21" s="27"/>
      <c r="G21" s="27"/>
      <c r="H21" s="27"/>
      <c r="I21" s="26"/>
      <c r="J21" s="22"/>
      <c r="K21" s="24"/>
      <c r="L21" s="26"/>
      <c r="M21" s="26"/>
    </row>
    <row r="22" spans="1:13" ht="15" customHeight="1" thickTop="1" thickBot="1">
      <c r="A22" s="26"/>
      <c r="B22" s="37"/>
      <c r="C22" s="27"/>
      <c r="D22" s="34"/>
      <c r="E22" s="27"/>
      <c r="F22" s="27"/>
      <c r="G22" s="38"/>
      <c r="H22" s="27"/>
      <c r="I22" s="26"/>
      <c r="J22" s="22"/>
      <c r="K22" s="24"/>
      <c r="L22" s="26"/>
      <c r="M22" s="26"/>
    </row>
    <row r="23" spans="1:13" ht="15" customHeight="1" thickTop="1" thickBot="1">
      <c r="A23" s="26"/>
      <c r="B23" s="34"/>
      <c r="C23" s="27"/>
      <c r="D23" s="34"/>
      <c r="E23" s="27"/>
      <c r="F23" s="27"/>
      <c r="G23" s="27"/>
      <c r="H23" s="27"/>
      <c r="I23" s="26"/>
      <c r="J23" s="22"/>
      <c r="K23" s="24"/>
      <c r="L23" s="26"/>
      <c r="M23" s="26"/>
    </row>
    <row r="24" spans="1:13" ht="15" customHeight="1" thickTop="1" thickBot="1">
      <c r="A24" s="26"/>
      <c r="B24" s="27"/>
      <c r="C24" s="27"/>
      <c r="D24" s="34"/>
      <c r="E24" s="27"/>
      <c r="F24" s="27"/>
      <c r="G24" s="27"/>
      <c r="H24" s="27"/>
      <c r="I24" s="26"/>
      <c r="J24" s="22"/>
      <c r="K24" s="24"/>
      <c r="L24" s="26"/>
      <c r="M24" s="26"/>
    </row>
    <row r="25" spans="1:13" ht="15" customHeight="1" thickTop="1" thickBot="1">
      <c r="A25" s="26"/>
      <c r="B25" s="27"/>
      <c r="C25" s="27"/>
      <c r="D25" s="27"/>
      <c r="E25" s="27"/>
      <c r="F25" s="27"/>
      <c r="G25" s="27"/>
      <c r="H25" s="27"/>
      <c r="I25" s="26"/>
      <c r="J25" s="22"/>
      <c r="K25" s="24"/>
      <c r="L25" s="26"/>
      <c r="M25" s="26"/>
    </row>
    <row r="26" spans="1:13" ht="15" customHeight="1" thickTop="1" thickBot="1">
      <c r="A26" s="26"/>
      <c r="B26" s="27"/>
      <c r="C26" s="27"/>
      <c r="D26" s="27"/>
      <c r="E26" s="27"/>
      <c r="F26" s="27"/>
      <c r="G26" s="27"/>
      <c r="H26" s="27"/>
      <c r="I26" s="26"/>
      <c r="J26" s="22"/>
      <c r="K26" s="24"/>
      <c r="L26" s="26"/>
      <c r="M26" s="26"/>
    </row>
    <row r="27" spans="1:13" ht="15" customHeight="1" thickTop="1">
      <c r="A27" s="26"/>
      <c r="B27" s="27"/>
      <c r="C27" s="27"/>
      <c r="D27" s="27"/>
      <c r="E27" s="27"/>
      <c r="F27" s="27"/>
      <c r="G27" s="27"/>
      <c r="H27" s="27"/>
      <c r="I27" s="26"/>
      <c r="J27" s="28"/>
      <c r="K27" s="29"/>
      <c r="L27" s="26"/>
      <c r="M27" s="26"/>
    </row>
    <row r="28" spans="1:13" ht="15" customHeight="1">
      <c r="A28" s="26"/>
      <c r="B28" s="27"/>
      <c r="C28" s="27"/>
      <c r="D28" s="27"/>
      <c r="E28" s="27"/>
      <c r="F28" s="27"/>
      <c r="G28" s="27"/>
      <c r="H28" s="27"/>
      <c r="I28" s="26"/>
      <c r="J28" s="28"/>
      <c r="K28" s="29"/>
      <c r="L28" s="26"/>
      <c r="M28" s="26"/>
    </row>
    <row r="29" spans="1:13" ht="15" customHeight="1">
      <c r="A29" s="26"/>
      <c r="B29" s="27"/>
      <c r="C29" s="27"/>
      <c r="D29" s="27"/>
      <c r="E29" s="27"/>
      <c r="F29" s="27"/>
      <c r="G29" s="27"/>
      <c r="H29" s="27"/>
      <c r="I29" s="26"/>
      <c r="J29" s="28"/>
      <c r="K29" s="29"/>
      <c r="L29" s="26"/>
      <c r="M29" s="26"/>
    </row>
    <row r="30" spans="1:13" ht="15" customHeight="1">
      <c r="A30" s="26"/>
      <c r="B30" s="27"/>
      <c r="C30" s="27"/>
      <c r="D30" s="27"/>
      <c r="E30" s="27"/>
      <c r="F30" s="27"/>
      <c r="G30" s="27"/>
      <c r="H30" s="27"/>
      <c r="I30" s="26"/>
      <c r="J30" s="28"/>
      <c r="K30" s="29"/>
      <c r="L30" s="26"/>
      <c r="M30" s="26"/>
    </row>
  </sheetData>
  <mergeCells count="1">
    <mergeCell ref="E2:F2"/>
  </mergeCells>
  <conditionalFormatting sqref="B7:H11">
    <cfRule type="expression" dxfId="4" priority="3">
      <formula>B7=TODAY()</formula>
    </cfRule>
    <cfRule type="expression" dxfId="3" priority="12">
      <formula>MONTH(B7)&lt;&gt;MONTH($B$4)</formula>
    </cfRule>
  </conditionalFormatting>
  <conditionalFormatting sqref="J7:K168">
    <cfRule type="expression" dxfId="2" priority="1">
      <formula>J7&lt;&gt;""</formula>
    </cfRule>
  </conditionalFormatting>
  <conditionalFormatting sqref="B7:H12">
    <cfRule type="expression" dxfId="0" priority="14">
      <formula>MATCH(B7,$J$6:$J$31,0)</formula>
    </cfRule>
  </conditionalFormatting>
  <conditionalFormatting sqref="B4:H5 B7:H11">
    <cfRule type="expression" dxfId="1" priority="15" stopIfTrue="1">
      <formula>OR(WEEKDAY(B$7)=7,WEEKDAY(B$7)=1)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otón7_Haga_clic_en">
                <anchor moveWithCells="1" sizeWithCells="1">
                  <from>
                    <xdr:col>1</xdr:col>
                    <xdr:colOff>320040</xdr:colOff>
                    <xdr:row>14</xdr:row>
                    <xdr:rowOff>68580</xdr:rowOff>
                  </from>
                  <to>
                    <xdr:col>2</xdr:col>
                    <xdr:colOff>403860</xdr:colOff>
                    <xdr:row>16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Hoja3!$A$5:$A$10</xm:f>
          </x14:formula1>
          <xm:sqref>C2</xm:sqref>
        </x14:dataValidation>
        <x14:dataValidation type="list" allowBlank="1" showInputMessage="1" showErrorMessage="1">
          <x14:formula1>
            <xm:f>Hoja3!$C$5:$C$16</xm:f>
          </x14:formula1>
          <xm:sqref>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4:I23"/>
  <sheetViews>
    <sheetView topLeftCell="A4" workbookViewId="0">
      <selection activeCell="D31" sqref="D31"/>
    </sheetView>
  </sheetViews>
  <sheetFormatPr baseColWidth="10" defaultRowHeight="14.4"/>
  <cols>
    <col min="4" max="4" width="13.88671875" bestFit="1" customWidth="1"/>
    <col min="7" max="7" width="13" bestFit="1" customWidth="1"/>
    <col min="8" max="9" width="12.88671875" bestFit="1" customWidth="1"/>
  </cols>
  <sheetData>
    <row r="4" spans="1:9">
      <c r="A4" s="1" t="s">
        <v>0</v>
      </c>
      <c r="B4" s="1"/>
      <c r="C4" s="1" t="s">
        <v>1</v>
      </c>
      <c r="D4" t="s">
        <v>25</v>
      </c>
      <c r="F4" t="s">
        <v>26</v>
      </c>
      <c r="G4" t="s">
        <v>24</v>
      </c>
      <c r="I4" t="s">
        <v>23</v>
      </c>
    </row>
    <row r="5" spans="1:9">
      <c r="A5" s="1">
        <v>2019</v>
      </c>
      <c r="C5" t="s">
        <v>2</v>
      </c>
      <c r="D5" s="1">
        <v>1</v>
      </c>
      <c r="F5" s="2">
        <v>1</v>
      </c>
      <c r="G5" s="1" t="s">
        <v>16</v>
      </c>
      <c r="I5" s="2">
        <f>WEEKDAY('Calendario-Agenda'!B4)</f>
        <v>1</v>
      </c>
    </row>
    <row r="6" spans="1:9">
      <c r="A6" s="1">
        <v>2020</v>
      </c>
      <c r="C6" t="s">
        <v>13</v>
      </c>
      <c r="D6" s="1">
        <v>2</v>
      </c>
      <c r="F6" s="2">
        <v>2</v>
      </c>
      <c r="G6" s="1" t="s">
        <v>17</v>
      </c>
    </row>
    <row r="7" spans="1:9">
      <c r="A7" s="1">
        <v>2021</v>
      </c>
      <c r="C7" t="s">
        <v>3</v>
      </c>
      <c r="D7" s="1">
        <v>3</v>
      </c>
      <c r="F7" s="2">
        <v>3</v>
      </c>
      <c r="G7" s="1" t="s">
        <v>18</v>
      </c>
    </row>
    <row r="8" spans="1:9">
      <c r="A8" s="1">
        <v>2022</v>
      </c>
      <c r="C8" t="s">
        <v>4</v>
      </c>
      <c r="D8" s="1">
        <v>4</v>
      </c>
      <c r="F8" s="2">
        <v>4</v>
      </c>
      <c r="G8" s="1" t="s">
        <v>19</v>
      </c>
      <c r="I8" s="2"/>
    </row>
    <row r="9" spans="1:9">
      <c r="A9" s="1">
        <v>2023</v>
      </c>
      <c r="C9" t="s">
        <v>5</v>
      </c>
      <c r="D9" s="1">
        <v>5</v>
      </c>
      <c r="F9" s="2">
        <v>5</v>
      </c>
      <c r="G9" s="1" t="s">
        <v>20</v>
      </c>
    </row>
    <row r="10" spans="1:9">
      <c r="A10" s="1">
        <v>2024</v>
      </c>
      <c r="C10" t="s">
        <v>6</v>
      </c>
      <c r="D10" s="1">
        <v>6</v>
      </c>
      <c r="F10" s="2">
        <v>6</v>
      </c>
      <c r="G10" s="1" t="s">
        <v>21</v>
      </c>
    </row>
    <row r="11" spans="1:9">
      <c r="A11" s="1"/>
      <c r="C11" t="s">
        <v>7</v>
      </c>
      <c r="D11" s="1">
        <v>7</v>
      </c>
      <c r="F11" s="2">
        <v>7</v>
      </c>
      <c r="G11" s="1" t="s">
        <v>22</v>
      </c>
    </row>
    <row r="12" spans="1:9">
      <c r="A12" s="1"/>
      <c r="C12" t="s">
        <v>8</v>
      </c>
      <c r="D12" s="1">
        <v>8</v>
      </c>
      <c r="G12" s="3"/>
    </row>
    <row r="13" spans="1:9">
      <c r="A13" s="1"/>
      <c r="C13" t="s">
        <v>9</v>
      </c>
      <c r="D13" s="1">
        <v>9</v>
      </c>
      <c r="G13" s="3"/>
    </row>
    <row r="14" spans="1:9">
      <c r="A14" s="1"/>
      <c r="C14" t="s">
        <v>10</v>
      </c>
      <c r="D14" s="1">
        <v>10</v>
      </c>
      <c r="G14" s="3"/>
    </row>
    <row r="15" spans="1:9">
      <c r="A15" s="1"/>
      <c r="C15" t="s">
        <v>11</v>
      </c>
      <c r="D15" s="1">
        <v>11</v>
      </c>
    </row>
    <row r="16" spans="1:9">
      <c r="A16" s="1"/>
      <c r="C16" t="s">
        <v>12</v>
      </c>
      <c r="D16" s="1">
        <v>12</v>
      </c>
    </row>
    <row r="19" spans="2:9" hidden="1"/>
    <row r="20" spans="2:9" hidden="1"/>
    <row r="21" spans="2:9" hidden="1">
      <c r="C21" s="2">
        <f>I5</f>
        <v>1</v>
      </c>
      <c r="D21" s="2">
        <f>C21+1</f>
        <v>2</v>
      </c>
      <c r="E21" s="2">
        <f t="shared" ref="E21:H21" si="0">D21+1</f>
        <v>3</v>
      </c>
      <c r="F21" s="2">
        <f t="shared" si="0"/>
        <v>4</v>
      </c>
      <c r="G21" s="2">
        <f t="shared" si="0"/>
        <v>5</v>
      </c>
      <c r="H21" s="2">
        <f t="shared" si="0"/>
        <v>6</v>
      </c>
      <c r="I21" s="2">
        <f>H21+1</f>
        <v>7</v>
      </c>
    </row>
    <row r="22" spans="2:9">
      <c r="B22" s="5" t="s">
        <v>27</v>
      </c>
      <c r="C22" s="5"/>
      <c r="D22" s="5"/>
      <c r="E22" s="5"/>
      <c r="F22" s="5"/>
      <c r="G22" s="5"/>
      <c r="H22" s="5"/>
      <c r="I22" s="2"/>
    </row>
    <row r="23" spans="2:9">
      <c r="C23" s="2">
        <f>C21</f>
        <v>1</v>
      </c>
      <c r="D23" s="2">
        <f t="shared" ref="D23:I23" si="1">IF(C21=7,1,IF(C21&gt;7,C21-6,C21+1))</f>
        <v>2</v>
      </c>
      <c r="E23" s="2">
        <f t="shared" si="1"/>
        <v>3</v>
      </c>
      <c r="F23" s="2">
        <f t="shared" si="1"/>
        <v>4</v>
      </c>
      <c r="G23" s="2">
        <f t="shared" si="1"/>
        <v>5</v>
      </c>
      <c r="H23" s="2">
        <f t="shared" si="1"/>
        <v>6</v>
      </c>
      <c r="I23" s="2">
        <f t="shared" si="1"/>
        <v>7</v>
      </c>
    </row>
  </sheetData>
  <sheetProtection password="E89B" sheet="1" objects="1" scenarios="1" selectLockedCells="1" selectUnlockedCells="1"/>
  <mergeCells count="1">
    <mergeCell ref="B22:H2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Calendario-Agenda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ROXANA GONZALEZ</dc:creator>
  <cp:lastModifiedBy>roxana gonzalez</cp:lastModifiedBy>
  <dcterms:created xsi:type="dcterms:W3CDTF">2024-03-15T17:03:40Z</dcterms:created>
  <dcterms:modified xsi:type="dcterms:W3CDTF">2024-03-21T19:43:10Z</dcterms:modified>
</cp:coreProperties>
</file>